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Analytics\"/>
    </mc:Choice>
  </mc:AlternateContent>
  <xr:revisionPtr revIDLastSave="0" documentId="13_ncr:1_{E9DC6BA3-0AD2-400F-BF28-70BB27D52006}" xr6:coauthVersionLast="47" xr6:coauthVersionMax="47" xr10:uidLastSave="{00000000-0000-0000-0000-000000000000}"/>
  <bookViews>
    <workbookView xWindow="-110" yWindow="-110" windowWidth="19420" windowHeight="11500" xr2:uid="{3644BCE3-5843-4E16-96E9-6921BD864E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2" i="1" l="1"/>
  <c r="D12" i="1"/>
  <c r="D13" i="1"/>
  <c r="D14" i="1"/>
  <c r="D17" i="1"/>
  <c r="D19" i="1"/>
  <c r="A20" i="1"/>
  <c r="A19" i="1"/>
  <c r="A18" i="1"/>
  <c r="A17" i="1"/>
  <c r="A16" i="1"/>
  <c r="A15" i="1"/>
  <c r="A14" i="1"/>
  <c r="A13" i="1"/>
  <c r="A12" i="1"/>
  <c r="A11" i="1"/>
</calcChain>
</file>

<file path=xl/sharedStrings.xml><?xml version="1.0" encoding="utf-8"?>
<sst xmlns="http://schemas.openxmlformats.org/spreadsheetml/2006/main" count="27" uniqueCount="19">
  <si>
    <t>CONSOLIDATE MARKSHEET</t>
  </si>
  <si>
    <t>Name: Ravi Kumar</t>
  </si>
  <si>
    <t>Roll Number: 1234567</t>
  </si>
  <si>
    <t>Course Name: Bachelor Of Science</t>
  </si>
  <si>
    <t>University/College Name: ABC COLLEGE</t>
  </si>
  <si>
    <t>Semester-Wise Results</t>
  </si>
  <si>
    <t>Semester</t>
  </si>
  <si>
    <t>Subject</t>
  </si>
  <si>
    <t>Mark</t>
  </si>
  <si>
    <t>Grade</t>
  </si>
  <si>
    <t>Mathematics</t>
  </si>
  <si>
    <t>Physics</t>
  </si>
  <si>
    <t>ComputerScience</t>
  </si>
  <si>
    <t>Chemistry</t>
  </si>
  <si>
    <t>A</t>
  </si>
  <si>
    <t>O</t>
  </si>
  <si>
    <t>B</t>
  </si>
  <si>
    <t xml:space="preserve">CGPA: </t>
  </si>
  <si>
    <t>Remarks: Passed with distinction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</si>
</sst>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5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6"/>
      <color theme="1"/>
      <name val="Calibri"/>
      <family val="2"/>
      <scheme val="minor"/>
    </font>
    <font>
      <b/>
      <u/>
      <sz val="11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0" xfId="0" applyFont="1"/>
    <xf numFmtId="0" fontId="4" fillId="2" borderId="0" xfId="0" applyFont="1" applyFill="1"/>
    <xf numFmtId="0" fontId="5" fillId="2" borderId="0" xfId="0" applyFont="1" applyFill="1"/>
    <xf numFmtId="0" fontId="2" fillId="3" borderId="0" xfId="0" applyFont="1" applyFill="1" applyAlignment="1">
      <alignment horizontal="left"/>
    </xf>
    <xf numFmtId="0" fontId="2" fillId="4" borderId="0" xfId="0" applyFont="1" applyFill="1" applyAlignment="1">
      <alignment horizontal="left"/>
    </xf>
    <xf numFmtId="0" fontId="2" fillId="4" borderId="0" xfId="0" applyFont="1" applyFill="1"/>
    <xf numFmtId="0" fontId="6" fillId="5" borderId="1" xfId="0" applyFont="1" applyFill="1" applyBorder="1" applyAlignment="1">
      <alignment horizontal="center"/>
    </xf>
    <xf numFmtId="2" fontId="2" fillId="6" borderId="1" xfId="0" applyNumberFormat="1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0" fillId="7" borderId="0" xfId="0" applyFill="1"/>
    <xf numFmtId="0" fontId="0" fillId="7" borderId="0" xfId="1" applyNumberFormat="1" applyFont="1" applyFill="1"/>
    <xf numFmtId="0" fontId="0" fillId="8" borderId="0" xfId="0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33CC33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EBE21-9708-4F9B-B973-C652220CA4F6}">
  <dimension ref="A1:H23"/>
  <sheetViews>
    <sheetView tabSelected="1" zoomScaleNormal="100" workbookViewId="0">
      <selection activeCell="C23" sqref="A23:C23"/>
    </sheetView>
  </sheetViews>
  <sheetFormatPr defaultRowHeight="14.5" x14ac:dyDescent="0.35"/>
  <cols>
    <col min="1" max="1" width="9.36328125" customWidth="1"/>
    <col min="2" max="2" width="15.36328125" bestFit="1" customWidth="1"/>
  </cols>
  <sheetData>
    <row r="1" spans="1:8" ht="21" x14ac:dyDescent="0.5">
      <c r="A1" s="4" t="s">
        <v>0</v>
      </c>
      <c r="B1" s="5"/>
      <c r="C1" s="5"/>
      <c r="D1" s="5"/>
      <c r="E1" s="3"/>
      <c r="F1" s="2"/>
      <c r="G1" s="2"/>
      <c r="H1" s="2"/>
    </row>
    <row r="3" spans="1:8" x14ac:dyDescent="0.35">
      <c r="A3" s="6" t="s">
        <v>1</v>
      </c>
      <c r="B3" s="6"/>
      <c r="C3" s="6"/>
      <c r="D3" s="6"/>
    </row>
    <row r="4" spans="1:8" x14ac:dyDescent="0.35">
      <c r="A4" s="6" t="s">
        <v>2</v>
      </c>
      <c r="B4" s="6"/>
      <c r="C4" s="6"/>
      <c r="D4" s="6"/>
    </row>
    <row r="5" spans="1:8" x14ac:dyDescent="0.35">
      <c r="A5" s="6" t="s">
        <v>3</v>
      </c>
      <c r="B5" s="6"/>
      <c r="C5" s="6"/>
      <c r="D5" s="6"/>
    </row>
    <row r="6" spans="1:8" x14ac:dyDescent="0.35">
      <c r="A6" s="6" t="s">
        <v>4</v>
      </c>
      <c r="B6" s="6"/>
      <c r="C6" s="6"/>
      <c r="D6" s="6"/>
    </row>
    <row r="7" spans="1:8" x14ac:dyDescent="0.35">
      <c r="A7" s="1"/>
      <c r="B7" s="1"/>
      <c r="C7" s="1"/>
      <c r="D7" s="1"/>
    </row>
    <row r="8" spans="1:8" x14ac:dyDescent="0.35">
      <c r="A8" s="7" t="s">
        <v>5</v>
      </c>
      <c r="B8" s="8"/>
      <c r="C8" s="1"/>
      <c r="D8" s="1"/>
    </row>
    <row r="9" spans="1:8" x14ac:dyDescent="0.35">
      <c r="A9" s="1"/>
      <c r="B9" s="1"/>
      <c r="C9" s="1"/>
      <c r="D9" s="1"/>
    </row>
    <row r="10" spans="1:8" x14ac:dyDescent="0.35">
      <c r="A10" s="9" t="s">
        <v>6</v>
      </c>
      <c r="B10" s="9" t="s">
        <v>7</v>
      </c>
      <c r="C10" s="9" t="s">
        <v>8</v>
      </c>
      <c r="D10" s="9" t="s">
        <v>9</v>
      </c>
    </row>
    <row r="11" spans="1:8" x14ac:dyDescent="0.35">
      <c r="A11" s="10" t="str">
        <f>ROMAN(1)</f>
        <v>I</v>
      </c>
      <c r="B11" s="11" t="s">
        <v>10</v>
      </c>
      <c r="C11" s="11">
        <v>78</v>
      </c>
      <c r="D11" s="11" t="s">
        <v>14</v>
      </c>
    </row>
    <row r="12" spans="1:8" x14ac:dyDescent="0.35">
      <c r="A12" s="10" t="str">
        <f>ROMAN(2)</f>
        <v>II</v>
      </c>
      <c r="B12" s="11" t="s">
        <v>11</v>
      </c>
      <c r="C12" s="11">
        <v>81</v>
      </c>
      <c r="D12" s="11" t="str">
        <f t="shared" ref="D12:D19" si="0">IF(A3&gt;=90,"A",IF(A3&gt;=75,"B",IF(A3&gt;=60,"C",IF(A3&gt;=40,"D","F"))))</f>
        <v>A</v>
      </c>
    </row>
    <row r="13" spans="1:8" x14ac:dyDescent="0.35">
      <c r="A13" s="10" t="str">
        <f>ROMAN(3)</f>
        <v>III</v>
      </c>
      <c r="B13" s="11" t="s">
        <v>12</v>
      </c>
      <c r="C13" s="11">
        <v>84</v>
      </c>
      <c r="D13" s="11" t="str">
        <f t="shared" si="0"/>
        <v>A</v>
      </c>
    </row>
    <row r="14" spans="1:8" x14ac:dyDescent="0.35">
      <c r="A14" s="10" t="str">
        <f>ROMAN(3)</f>
        <v>III</v>
      </c>
      <c r="B14" s="11" t="s">
        <v>10</v>
      </c>
      <c r="C14" s="11">
        <v>82</v>
      </c>
      <c r="D14" s="11" t="str">
        <f t="shared" si="0"/>
        <v>A</v>
      </c>
    </row>
    <row r="15" spans="1:8" x14ac:dyDescent="0.35">
      <c r="A15" s="10" t="str">
        <f>ROMAN(4)</f>
        <v>IV</v>
      </c>
      <c r="B15" s="11" t="s">
        <v>11</v>
      </c>
      <c r="C15" s="11">
        <v>88</v>
      </c>
      <c r="D15" s="11" t="s">
        <v>15</v>
      </c>
    </row>
    <row r="16" spans="1:8" x14ac:dyDescent="0.35">
      <c r="A16" s="10" t="str">
        <f>ROMAN(5)</f>
        <v>V</v>
      </c>
      <c r="B16" s="11" t="s">
        <v>13</v>
      </c>
      <c r="C16" s="11">
        <v>76</v>
      </c>
      <c r="D16" s="11" t="s">
        <v>14</v>
      </c>
    </row>
    <row r="17" spans="1:4" x14ac:dyDescent="0.35">
      <c r="A17" s="10" t="str">
        <f>ROMAN(5)</f>
        <v>V</v>
      </c>
      <c r="B17" s="11" t="s">
        <v>10</v>
      </c>
      <c r="C17" s="11">
        <v>80</v>
      </c>
      <c r="D17" s="11" t="str">
        <f t="shared" si="0"/>
        <v>A</v>
      </c>
    </row>
    <row r="18" spans="1:4" x14ac:dyDescent="0.35">
      <c r="A18" s="10" t="str">
        <f>ROMAN(5)</f>
        <v>V</v>
      </c>
      <c r="B18" s="11" t="s">
        <v>11</v>
      </c>
      <c r="C18" s="11">
        <v>91</v>
      </c>
      <c r="D18" s="11" t="s">
        <v>16</v>
      </c>
    </row>
    <row r="19" spans="1:4" x14ac:dyDescent="0.35">
      <c r="A19" s="10" t="str">
        <f>ROMAN(6)</f>
        <v>VI</v>
      </c>
      <c r="B19" s="11" t="s">
        <v>13</v>
      </c>
      <c r="C19" s="11">
        <v>79</v>
      </c>
      <c r="D19" s="11" t="str">
        <f t="shared" si="0"/>
        <v>A</v>
      </c>
    </row>
    <row r="20" spans="1:4" x14ac:dyDescent="0.35">
      <c r="A20" s="10" t="str">
        <f>ROMAN(6)</f>
        <v>VI</v>
      </c>
      <c r="B20" s="11" t="s">
        <v>12</v>
      </c>
      <c r="C20" s="11">
        <v>85</v>
      </c>
      <c r="D20" s="11" t="s">
        <v>15</v>
      </c>
    </row>
    <row r="22" spans="1:4" x14ac:dyDescent="0.35">
      <c r="A22" s="12" t="s">
        <v>17</v>
      </c>
      <c r="B22" s="13">
        <f>ROUND(C11/9.5,1)</f>
        <v>8.1999999999999993</v>
      </c>
    </row>
    <row r="23" spans="1:4" x14ac:dyDescent="0.35">
      <c r="A23" s="14" t="s">
        <v>18</v>
      </c>
      <c r="B23" s="14"/>
      <c r="C23" s="1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 MADDHESHIYA</dc:creator>
  <cp:lastModifiedBy>SHREYA MADDHESHIYA</cp:lastModifiedBy>
  <dcterms:created xsi:type="dcterms:W3CDTF">2026-02-19T16:51:14Z</dcterms:created>
  <dcterms:modified xsi:type="dcterms:W3CDTF">2026-02-19T17:31:47Z</dcterms:modified>
</cp:coreProperties>
</file>